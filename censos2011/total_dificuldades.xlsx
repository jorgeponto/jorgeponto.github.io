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0" yWindow="0" windowWidth="32000" windowHeight="182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" l="1"/>
  <c r="E26" i="1"/>
  <c r="D25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E5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7" i="1"/>
  <c r="E6" i="1"/>
</calcChain>
</file>

<file path=xl/sharedStrings.xml><?xml version="1.0" encoding="utf-8"?>
<sst xmlns="http://schemas.openxmlformats.org/spreadsheetml/2006/main" count="30" uniqueCount="29">
  <si>
    <t>Total</t>
  </si>
  <si>
    <t>80-84 anos</t>
  </si>
  <si>
    <t>85-89 anos</t>
  </si>
  <si>
    <t>&gt;90 anos</t>
  </si>
  <si>
    <t>Censos 2011</t>
  </si>
  <si>
    <t>Total de Portugueses com pelo menos uma dificuldade</t>
  </si>
  <si>
    <t>Europa</t>
  </si>
  <si>
    <t>44,6 milhões</t>
  </si>
  <si>
    <t xml:space="preserve">1 em cada 6 </t>
  </si>
  <si>
    <t>(16-25) 7,3%</t>
  </si>
  <si>
    <t xml:space="preserve">In Sweden, around 70% of assistive devices prescribed go to people aged over 65 </t>
  </si>
  <si>
    <t>Incidence of poverty for persons with disabilities is 70% higher than average.</t>
  </si>
  <si>
    <t>75-79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</si>
  <si>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</si>
  <si>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</si>
  <si>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</si>
  <si>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</si>
  <si>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</si>
  <si>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</si>
  <si>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</si>
  <si>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</si>
  <si>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</si>
  <si>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</si>
  <si>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</si>
  <si>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15-19</t>
  </si>
  <si>
    <t>10-14</t>
  </si>
  <si>
    <t>5-9</t>
  </si>
  <si>
    <t>Ttl população</t>
  </si>
  <si>
    <t>Incidência da População portuguesa com pelo menos uma dificuldade no total da população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</si>
</sst>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10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Sheet1!$C$5:$C$19</c:f>
              <c:strCache>
                <c:ptCount val="15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</c:strCache>
            </c:strRef>
          </c:cat>
          <c:val>
            <c:numRef>
              <c:f>Sheet1!$D$5:$D$19</c:f>
              <c:numCache>
                <c:formatCode>General</c:formatCode>
                <c:ptCount val="15"/>
                <c:pt idx="0">
                  <c:v>23519.0</c:v>
                </c:pt>
                <c:pt idx="1">
                  <c:v>28695.0</c:v>
                </c:pt>
                <c:pt idx="2">
                  <c:v>24715.0</c:v>
                </c:pt>
                <c:pt idx="3">
                  <c:v>24474.0</c:v>
                </c:pt>
                <c:pt idx="4">
                  <c:v>29528.0</c:v>
                </c:pt>
                <c:pt idx="5">
                  <c:v>39760.0</c:v>
                </c:pt>
                <c:pt idx="6">
                  <c:v>50387.0</c:v>
                </c:pt>
                <c:pt idx="7">
                  <c:v>62619.0</c:v>
                </c:pt>
                <c:pt idx="8">
                  <c:v>92984.0</c:v>
                </c:pt>
                <c:pt idx="9">
                  <c:v>120563.0</c:v>
                </c:pt>
                <c:pt idx="10">
                  <c:v>142271.0</c:v>
                </c:pt>
                <c:pt idx="11">
                  <c:v>157991.0</c:v>
                </c:pt>
                <c:pt idx="12">
                  <c:v>172379.0</c:v>
                </c:pt>
                <c:pt idx="13">
                  <c:v>206013.0</c:v>
                </c:pt>
                <c:pt idx="14">
                  <c:v>229854.0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1993752"/>
        <c:axId val="2142000184"/>
      </c:barChart>
      <c:catAx>
        <c:axId val="2141993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142000184"/>
        <c:crosses val="autoZero"/>
        <c:auto val="1"/>
        <c:lblAlgn val="ctr"/>
        <c:lblOffset val="100"/>
        <c:noMultiLvlLbl val="0"/>
      </c:catAx>
      <c:valAx>
        <c:axId val="21420001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Population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2141993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population</c:v>
          </c:tx>
          <c:invertIfNegative val="0"/>
          <c:cat>
            <c:strRef>
              <c:f>Sheet1!$C$5:$C$19</c:f>
              <c:strCache>
                <c:ptCount val="15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</c:strCache>
            </c:strRef>
          </c:cat>
          <c:val>
            <c:numRef>
              <c:f>Sheet1!$G$5:$G$19</c:f>
              <c:numCache>
                <c:formatCode>General</c:formatCode>
                <c:ptCount val="15"/>
                <c:pt idx="0">
                  <c:v>525087.0</c:v>
                </c:pt>
                <c:pt idx="1">
                  <c:v>564595.0</c:v>
                </c:pt>
                <c:pt idx="2">
                  <c:v>565250.0</c:v>
                </c:pt>
                <c:pt idx="3">
                  <c:v>582065.0</c:v>
                </c:pt>
                <c:pt idx="4">
                  <c:v>656076.0</c:v>
                </c:pt>
                <c:pt idx="5">
                  <c:v>773567.0</c:v>
                </c:pt>
                <c:pt idx="6">
                  <c:v>824683.0</c:v>
                </c:pt>
                <c:pt idx="7">
                  <c:v>773098.0</c:v>
                </c:pt>
                <c:pt idx="8">
                  <c:v>770294.0</c:v>
                </c:pt>
                <c:pt idx="9">
                  <c:v>722360.0</c:v>
                </c:pt>
                <c:pt idx="10">
                  <c:v>677651.0</c:v>
                </c:pt>
                <c:pt idx="11">
                  <c:v>634741.0</c:v>
                </c:pt>
                <c:pt idx="12">
                  <c:v>551701.0</c:v>
                </c:pt>
                <c:pt idx="13">
                  <c:v>496438.0</c:v>
                </c:pt>
                <c:pt idx="14">
                  <c:v>429706.0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8844536"/>
        <c:axId val="-2138849976"/>
      </c:barChart>
      <c:lineChart>
        <c:grouping val="stacked"/>
        <c:varyColors val="0"/>
        <c:ser>
          <c:idx val="1"/>
          <c:order val="1"/>
          <c:tx>
            <c:v>Incidence of funct. limitations</c:v>
          </c:tx>
          <c:marker>
            <c:symbol val="none"/>
          </c:marker>
          <c:val>
            <c:numRef>
              <c:f>Sheet1!$D$5:$D$19</c:f>
              <c:numCache>
                <c:formatCode>General</c:formatCode>
                <c:ptCount val="15"/>
                <c:pt idx="0">
                  <c:v>23519.0</c:v>
                </c:pt>
                <c:pt idx="1">
                  <c:v>28695.0</c:v>
                </c:pt>
                <c:pt idx="2">
                  <c:v>24715.0</c:v>
                </c:pt>
                <c:pt idx="3">
                  <c:v>24474.0</c:v>
                </c:pt>
                <c:pt idx="4">
                  <c:v>29528.0</c:v>
                </c:pt>
                <c:pt idx="5">
                  <c:v>39760.0</c:v>
                </c:pt>
                <c:pt idx="6">
                  <c:v>50387.0</c:v>
                </c:pt>
                <c:pt idx="7">
                  <c:v>62619.0</c:v>
                </c:pt>
                <c:pt idx="8">
                  <c:v>92984.0</c:v>
                </c:pt>
                <c:pt idx="9">
                  <c:v>120563.0</c:v>
                </c:pt>
                <c:pt idx="10">
                  <c:v>142271.0</c:v>
                </c:pt>
                <c:pt idx="11">
                  <c:v>157991.0</c:v>
                </c:pt>
                <c:pt idx="12">
                  <c:v>172379.0</c:v>
                </c:pt>
                <c:pt idx="13">
                  <c:v>206013.0</c:v>
                </c:pt>
                <c:pt idx="14">
                  <c:v>229854.0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8844536"/>
        <c:axId val="-2138849976"/>
      </c:lineChart>
      <c:catAx>
        <c:axId val="-2138844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2138849976"/>
        <c:crosses val="autoZero"/>
        <c:auto val="1"/>
        <c:lblAlgn val="ctr"/>
        <c:lblOffset val="100"/>
        <c:noMultiLvlLbl val="0"/>
      </c:catAx>
      <c:valAx>
        <c:axId val="-2138849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Population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-213884453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787400</xdr:colOff>
      <xdr:row>17</xdr:row>
      <xdr:rowOff>114300</xdr:rowOff>
    </xdr:from>
    <xdr:to>
      <xdr:col>12</xdr:col>
      <xdr:colOff>406400</xdr:colOff>
      <xdr:row>32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13</xdr:row>
      <xdr:rowOff>146050</xdr:rowOff>
    </xdr:from>
    <xdr:to>
      <xdr:col>22</xdr:col>
      <xdr:colOff>127000</xdr:colOff>
      <xdr:row>28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26"/>
  <sheetViews>
    <sheetView tabSelected="1" workbookViewId="0">
      <selection activeCell="P13" sqref="P13"/>
    </sheetView>
  </sheetViews>
  <sheetFormatPr baseColWidth="10" defaultRowHeight="15" x14ac:dyDescent="0"/>
  <sheetData>
    <row r="2" spans="3:19">
      <c r="G2" t="s">
        <v>27</v>
      </c>
    </row>
    <row r="3" spans="3:19">
      <c r="C3" t="s">
        <v>0</v>
      </c>
      <c r="D3">
        <v>1792719</v>
      </c>
      <c r="G3">
        <v>10562178</v>
      </c>
      <c r="H3" s="3">
        <f>+D3/G3</f>
        <v>0.16973004999537028</v>
      </c>
    </row>
    <row r="4" spans="3:19">
      <c r="G4">
        <v>482647</v>
      </c>
      <c r="H4" s="3"/>
    </row>
    <row r="5" spans="3:19">
      <c r="C5" s="1" t="s">
        <v>26</v>
      </c>
      <c r="D5">
        <v>23519</v>
      </c>
      <c r="E5">
        <f>+D5</f>
        <v>23519</v>
      </c>
      <c r="F5" s="2">
        <f>+E5/$D$3</f>
        <v>1.3119178186877028E-2</v>
      </c>
      <c r="G5">
        <v>525087</v>
      </c>
      <c r="J5" t="s">
        <v>6</v>
      </c>
    </row>
    <row r="6" spans="3:19">
      <c r="C6" s="1" t="s">
        <v>25</v>
      </c>
      <c r="D6">
        <v>28695</v>
      </c>
      <c r="E6">
        <f>+D5+D6</f>
        <v>52214</v>
      </c>
      <c r="F6" s="2">
        <f t="shared" ref="F6:F22" si="0">+E6/$D$3</f>
        <v>2.9125590792533577E-2</v>
      </c>
      <c r="G6">
        <v>564595</v>
      </c>
      <c r="J6" t="s">
        <v>7</v>
      </c>
    </row>
    <row r="7" spans="3:19">
      <c r="C7" s="1" t="s">
        <v>24</v>
      </c>
      <c r="D7">
        <v>24715</v>
      </c>
      <c r="E7">
        <f>+D7+E6</f>
        <v>76929</v>
      </c>
      <c r="F7" s="2">
        <f t="shared" si="0"/>
        <v>4.2911912017443897E-2</v>
      </c>
      <c r="G7">
        <v>565250</v>
      </c>
      <c r="J7" t="s">
        <v>8</v>
      </c>
    </row>
    <row r="8" spans="3:19">
      <c r="C8" s="1" t="s">
        <v>23</v>
      </c>
      <c r="D8">
        <v>24474</v>
      </c>
      <c r="E8">
        <f t="shared" ref="E8:E22" si="1">+D8+E7</f>
        <v>101403</v>
      </c>
      <c r="F8" s="2">
        <f t="shared" si="0"/>
        <v>5.6563800573319077E-2</v>
      </c>
      <c r="G8">
        <v>582065</v>
      </c>
      <c r="J8" t="s">
        <v>9</v>
      </c>
    </row>
    <row r="9" spans="3:19">
      <c r="C9" s="1" t="s">
        <v>22</v>
      </c>
      <c r="D9">
        <v>29528</v>
      </c>
      <c r="E9">
        <f t="shared" si="1"/>
        <v>130931</v>
      </c>
      <c r="F9" s="2">
        <f t="shared" si="0"/>
        <v>7.3034870495599147E-2</v>
      </c>
      <c r="G9">
        <v>656076</v>
      </c>
      <c r="J9" t="s">
        <v>10</v>
      </c>
    </row>
    <row r="10" spans="3:19">
      <c r="C10" s="1" t="s">
        <v>21</v>
      </c>
      <c r="D10">
        <v>39760</v>
      </c>
      <c r="E10">
        <f t="shared" si="1"/>
        <v>170691</v>
      </c>
      <c r="F10" s="2">
        <f t="shared" si="0"/>
        <v>9.5213471826873036E-2</v>
      </c>
      <c r="G10">
        <v>773567</v>
      </c>
      <c r="J10" t="s">
        <v>11</v>
      </c>
    </row>
    <row r="11" spans="3:19">
      <c r="C11" s="1" t="s">
        <v>20</v>
      </c>
      <c r="D11">
        <v>50387</v>
      </c>
      <c r="E11">
        <f t="shared" si="1"/>
        <v>221078</v>
      </c>
      <c r="F11" s="2">
        <f t="shared" si="0"/>
        <v>0.12331994026950124</v>
      </c>
      <c r="G11">
        <v>824683</v>
      </c>
    </row>
    <row r="12" spans="3:19">
      <c r="C12" s="1" t="s">
        <v>19</v>
      </c>
      <c r="D12">
        <v>62619</v>
      </c>
      <c r="E12">
        <f t="shared" si="1"/>
        <v>283697</v>
      </c>
      <c r="F12" s="2">
        <f t="shared" si="0"/>
        <v>0.15824956393054349</v>
      </c>
      <c r="G12">
        <v>773098</v>
      </c>
      <c r="Q12" t="s">
        <v>28</v>
      </c>
    </row>
    <row r="13" spans="3:19">
      <c r="C13" s="1" t="s">
        <v>18</v>
      </c>
      <c r="D13">
        <v>92984</v>
      </c>
      <c r="E13">
        <f t="shared" si="1"/>
        <v>376681</v>
      </c>
      <c r="F13" s="2">
        <f t="shared" si="0"/>
        <v>0.21011714607810816</v>
      </c>
      <c r="G13">
        <v>770294</v>
      </c>
      <c r="S13" t="s">
        <v>4</v>
      </c>
    </row>
    <row r="14" spans="3:19">
      <c r="C14" s="1" t="s">
        <v>17</v>
      </c>
      <c r="D14">
        <v>120563</v>
      </c>
      <c r="E14">
        <f t="shared" si="1"/>
        <v>497244</v>
      </c>
      <c r="F14" s="2">
        <f t="shared" si="0"/>
        <v>0.27736862274567292</v>
      </c>
      <c r="G14">
        <v>722360</v>
      </c>
    </row>
    <row r="15" spans="3:19">
      <c r="C15" s="1" t="s">
        <v>16</v>
      </c>
      <c r="D15">
        <v>142271</v>
      </c>
      <c r="E15">
        <f t="shared" si="1"/>
        <v>639515</v>
      </c>
      <c r="F15" s="2">
        <f t="shared" si="0"/>
        <v>0.35672908024068467</v>
      </c>
      <c r="G15">
        <v>677651</v>
      </c>
    </row>
    <row r="16" spans="3:19">
      <c r="C16" s="1" t="s">
        <v>15</v>
      </c>
      <c r="D16">
        <v>157991</v>
      </c>
      <c r="E16">
        <f t="shared" si="1"/>
        <v>797506</v>
      </c>
      <c r="F16" s="2">
        <f t="shared" si="0"/>
        <v>0.44485834087773934</v>
      </c>
      <c r="G16">
        <v>634741</v>
      </c>
      <c r="I16" t="s">
        <v>5</v>
      </c>
    </row>
    <row r="17" spans="3:10">
      <c r="C17" s="1" t="s">
        <v>14</v>
      </c>
      <c r="D17">
        <v>172379</v>
      </c>
      <c r="E17">
        <f t="shared" si="1"/>
        <v>969885</v>
      </c>
      <c r="F17" s="2">
        <f t="shared" si="0"/>
        <v>0.54101339919976299</v>
      </c>
      <c r="G17">
        <v>551701</v>
      </c>
      <c r="J17" t="s">
        <v>4</v>
      </c>
    </row>
    <row r="18" spans="3:10">
      <c r="C18" s="1" t="s">
        <v>13</v>
      </c>
      <c r="D18">
        <v>206013</v>
      </c>
      <c r="E18">
        <f t="shared" si="1"/>
        <v>1175898</v>
      </c>
      <c r="F18" s="2">
        <f t="shared" si="0"/>
        <v>0.65592990312480648</v>
      </c>
      <c r="G18">
        <v>496438</v>
      </c>
    </row>
    <row r="19" spans="3:10">
      <c r="C19" s="1" t="s">
        <v>12</v>
      </c>
      <c r="D19">
        <v>229854</v>
      </c>
      <c r="E19">
        <f t="shared" si="1"/>
        <v>1405752</v>
      </c>
      <c r="F19" s="2">
        <f t="shared" si="0"/>
        <v>0.78414520067004367</v>
      </c>
      <c r="G19">
        <v>429706</v>
      </c>
    </row>
    <row r="20" spans="3:10">
      <c r="C20" s="1" t="s">
        <v>1</v>
      </c>
      <c r="D20">
        <v>199416</v>
      </c>
      <c r="E20">
        <f t="shared" si="1"/>
        <v>1605168</v>
      </c>
      <c r="F20" s="2">
        <f t="shared" si="0"/>
        <v>0.89538181945971451</v>
      </c>
      <c r="G20">
        <v>297888</v>
      </c>
    </row>
    <row r="21" spans="3:10">
      <c r="C21" s="1" t="s">
        <v>2</v>
      </c>
      <c r="D21">
        <v>127731</v>
      </c>
      <c r="E21">
        <f t="shared" si="1"/>
        <v>1732899</v>
      </c>
      <c r="F21" s="2">
        <f t="shared" si="0"/>
        <v>0.96663169186024134</v>
      </c>
      <c r="G21">
        <v>164356</v>
      </c>
    </row>
    <row r="22" spans="3:10">
      <c r="C22" s="1" t="s">
        <v>3</v>
      </c>
      <c r="D22">
        <v>59820</v>
      </c>
      <c r="E22">
        <f t="shared" si="1"/>
        <v>1792719</v>
      </c>
      <c r="F22" s="2">
        <f t="shared" si="0"/>
        <v>1</v>
      </c>
      <c r="G22">
        <v>69975</v>
      </c>
    </row>
    <row r="25" spans="3:10">
      <c r="D25">
        <f>SUM(D17:D22)</f>
        <v>995213</v>
      </c>
    </row>
    <row r="26" spans="3:10">
      <c r="D26">
        <v>2010064</v>
      </c>
      <c r="E26">
        <f>+D25/D26</f>
        <v>0.49511508091284656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Fernandes - pessoal</dc:creator>
  <cp:lastModifiedBy>Jorge Fernandes</cp:lastModifiedBy>
  <dcterms:created xsi:type="dcterms:W3CDTF">2013-01-15T23:46:06Z</dcterms:created>
  <dcterms:modified xsi:type="dcterms:W3CDTF">2013-06-06T14:53:59Z</dcterms:modified>
</cp:coreProperties>
</file>