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560" yWindow="560" windowWidth="34800" windowHeight="19940" tabRatio="500" activeTab="2"/>
  </bookViews>
  <sheets>
    <sheet name="Sheet1" sheetId="1" r:id="rId1"/>
    <sheet name="Sheet2" sheetId="2" r:id="rId2"/>
    <sheet name="Sheet3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28" i="3" l="1"/>
  <c r="P27" i="3"/>
  <c r="P25" i="3"/>
  <c r="P23" i="3"/>
  <c r="P21" i="3"/>
  <c r="P19" i="3"/>
  <c r="P17" i="3"/>
  <c r="P15" i="3"/>
  <c r="P13" i="3"/>
  <c r="P11" i="3"/>
  <c r="O28" i="3"/>
  <c r="O26" i="3"/>
  <c r="O24" i="3"/>
  <c r="O22" i="3"/>
  <c r="O20" i="3"/>
  <c r="O18" i="3"/>
  <c r="O16" i="3"/>
  <c r="O14" i="3"/>
  <c r="O12" i="3"/>
  <c r="O10" i="3"/>
  <c r="P9" i="3"/>
  <c r="O8" i="3"/>
  <c r="N28" i="3"/>
  <c r="N27" i="3"/>
  <c r="N25" i="3"/>
  <c r="N23" i="3"/>
  <c r="N21" i="3"/>
  <c r="N19" i="3"/>
  <c r="N17" i="3"/>
  <c r="N15" i="3"/>
  <c r="N13" i="3"/>
  <c r="N11" i="3"/>
  <c r="M28" i="3"/>
  <c r="M26" i="3"/>
  <c r="M24" i="3"/>
  <c r="M22" i="3"/>
  <c r="M20" i="3"/>
  <c r="M18" i="3"/>
  <c r="M16" i="3"/>
  <c r="M14" i="3"/>
  <c r="M12" i="3"/>
  <c r="M10" i="3"/>
  <c r="N9" i="3"/>
  <c r="M8" i="3"/>
  <c r="L28" i="3"/>
  <c r="L27" i="3"/>
  <c r="L25" i="3"/>
  <c r="L23" i="3"/>
  <c r="L21" i="3"/>
  <c r="L19" i="3"/>
  <c r="L17" i="3"/>
  <c r="L15" i="3"/>
  <c r="L13" i="3"/>
  <c r="L11" i="3"/>
  <c r="L9" i="3"/>
  <c r="J8" i="3"/>
  <c r="J6" i="3"/>
  <c r="K8" i="3"/>
  <c r="J10" i="3"/>
  <c r="K10" i="3"/>
  <c r="J12" i="3"/>
  <c r="K12" i="3"/>
  <c r="J14" i="3"/>
  <c r="K14" i="3"/>
  <c r="J16" i="3"/>
  <c r="K16" i="3"/>
  <c r="J18" i="3"/>
  <c r="K18" i="3"/>
  <c r="J20" i="3"/>
  <c r="K20" i="3"/>
  <c r="J22" i="3"/>
  <c r="K22" i="3"/>
  <c r="J24" i="3"/>
  <c r="K24" i="3"/>
  <c r="J26" i="3"/>
  <c r="K26" i="3"/>
  <c r="K28" i="3"/>
  <c r="J27" i="3"/>
  <c r="J25" i="3"/>
  <c r="J23" i="3"/>
  <c r="J21" i="3"/>
  <c r="J19" i="3"/>
  <c r="J17" i="3"/>
  <c r="J15" i="3"/>
  <c r="J13" i="3"/>
  <c r="J11" i="3"/>
  <c r="J9" i="3"/>
  <c r="J7" i="3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D24" i="1"/>
  <c r="C24" i="1"/>
</calcChain>
</file>

<file path=xl/sharedStrings.xml><?xml version="1.0" encoding="utf-8"?>
<sst xmlns="http://schemas.openxmlformats.org/spreadsheetml/2006/main" count="104" uniqueCount="59">
  <si>
    <t>Grupo etário</t>
  </si>
  <si>
    <t>5 - 9 anos</t>
  </si>
  <si>
    <t>10 - 14 anos</t>
  </si>
  <si>
    <t>15 - 19 anos</t>
  </si>
  <si>
    <t>20 - 24 anos</t>
  </si>
  <si>
    <t>25 - 29 anos</t>
  </si>
  <si>
    <t>30 - 34 anos</t>
  </si>
  <si>
    <t>35 - 39 anos</t>
  </si>
  <si>
    <t>40 - 44 anos</t>
  </si>
  <si>
    <t>45 - 49 anos</t>
  </si>
  <si>
    <t>50 - 54 anos</t>
  </si>
  <si>
    <t>55 - 59 anos</t>
  </si>
  <si>
    <t>60 - 64 anos</t>
  </si>
  <si>
    <t>65 - 69 anos</t>
  </si>
  <si>
    <t>70 - 74 anos</t>
  </si>
  <si>
    <t>75 - 79 anos</t>
  </si>
  <si>
    <t>80 - 84 anos</t>
  </si>
  <si>
    <t>85 - 89 anos</t>
  </si>
  <si>
    <t>90 ou mais anos</t>
  </si>
  <si>
    <t>[1]</t>
  </si>
  <si>
    <t>[2]</t>
  </si>
  <si>
    <t>Legenda:</t>
  </si>
  <si>
    <t>[1] não consegue efetuar a ação</t>
  </si>
  <si>
    <t>[2] tem muita dificuldade em efetuar a ação</t>
  </si>
  <si>
    <t>Grau de dificuldade para "Ver" por grupo etário</t>
  </si>
  <si>
    <t>Acréscimos entre intervalos</t>
  </si>
  <si>
    <t>[1]+[2]</t>
  </si>
  <si>
    <t>HM</t>
  </si>
  <si>
    <t>H</t>
  </si>
  <si>
    <t>Portugal</t>
  </si>
  <si>
    <t>Total de pessoas com pelo menos uma dificuldade</t>
  </si>
  <si>
    <t>Não consegue efectuar a ação</t>
  </si>
  <si>
    <t>Tem muita dificuldade em efectuar a ação</t>
  </si>
  <si>
    <t>ver</t>
  </si>
  <si>
    <t>Estudantes</t>
  </si>
  <si>
    <t>População inativa</t>
  </si>
  <si>
    <t>Desempregados</t>
  </si>
  <si>
    <t>Empregados</t>
  </si>
  <si>
    <t>População ativa</t>
  </si>
  <si>
    <t>Domésticos</t>
  </si>
  <si>
    <t>Reformados, aposentados ou na reserva</t>
  </si>
  <si>
    <t>Incapacitados permanentes para o trabalho</t>
  </si>
  <si>
    <t>Outros casos</t>
  </si>
  <si>
    <t>Total</t>
  </si>
  <si>
    <t>Trabalho</t>
  </si>
  <si>
    <t>Reforma/ Pensão</t>
  </si>
  <si>
    <t>Subsidio de desemprego</t>
  </si>
  <si>
    <t>Apoio social</t>
  </si>
  <si>
    <t>A cargo da família</t>
  </si>
  <si>
    <t>Subsidio por acidente de trabalho ou doença profissional</t>
  </si>
  <si>
    <t>Rendimento social de inserção</t>
  </si>
  <si>
    <t xml:space="preserve">Outro subsídio temporário (doença, maternidade, etc.) </t>
  </si>
  <si>
    <t>Rendimento da propriedade ou da empresa</t>
  </si>
  <si>
    <t>Outro</t>
  </si>
  <si>
    <t>￼</t>
  </si>
  <si>
    <t>Tem muita dificuldade em efetuar a ação</t>
  </si>
  <si>
    <t>Não consegue efetuar a ação</t>
  </si>
  <si>
    <t>Ver</t>
  </si>
  <si>
    <t>Homens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</si>
</sst>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NumberFormat="1"/>
    <xf numFmtId="164" fontId="0" fillId="0" borderId="0" xfId="0" applyNumberFormat="1"/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[1]</c:v>
                </c:pt>
              </c:strCache>
            </c:strRef>
          </c:tx>
          <c:invertIfNegative val="0"/>
          <c:cat>
            <c:strRef>
              <c:f>Sheet1!$B$6:$B$21</c:f>
              <c:strCache>
                <c:ptCount val="16"/>
                <c:pt idx="0">
                  <c:v>5 - 9 anos</c:v>
                </c:pt>
                <c:pt idx="1">
                  <c:v>10 - 14 anos</c:v>
                </c:pt>
                <c:pt idx="2">
                  <c:v>15 - 19 anos</c:v>
                </c:pt>
                <c:pt idx="3">
                  <c:v>20 - 24 anos</c:v>
                </c:pt>
                <c:pt idx="4">
                  <c:v>25 - 29 anos</c:v>
                </c:pt>
                <c:pt idx="5">
                  <c:v>30 - 34 anos</c:v>
                </c:pt>
                <c:pt idx="6">
                  <c:v>35 - 39 anos</c:v>
                </c:pt>
                <c:pt idx="7">
                  <c:v>40 - 44 anos</c:v>
                </c:pt>
                <c:pt idx="8">
                  <c:v>45 - 49 anos</c:v>
                </c:pt>
                <c:pt idx="9">
                  <c:v>50 - 54 anos</c:v>
                </c:pt>
                <c:pt idx="10">
                  <c:v>55 - 59 anos</c:v>
                </c:pt>
                <c:pt idx="11">
                  <c:v>60 - 64 anos</c:v>
                </c:pt>
                <c:pt idx="12">
                  <c:v>65 - 69 anos</c:v>
                </c:pt>
                <c:pt idx="13">
                  <c:v>70 - 74 anos</c:v>
                </c:pt>
                <c:pt idx="14">
                  <c:v>75 - 79 anos</c:v>
                </c:pt>
                <c:pt idx="15">
                  <c:v>80 - 84 anos</c:v>
                </c:pt>
              </c:strCache>
            </c:strRef>
          </c:cat>
          <c:val>
            <c:numRef>
              <c:f>Sheet1!$C$6:$C$21</c:f>
              <c:numCache>
                <c:formatCode>General</c:formatCode>
                <c:ptCount val="16"/>
                <c:pt idx="0">
                  <c:v>300.0</c:v>
                </c:pt>
                <c:pt idx="1">
                  <c:v>344.0</c:v>
                </c:pt>
                <c:pt idx="2">
                  <c:v>423.0</c:v>
                </c:pt>
                <c:pt idx="3">
                  <c:v>546.0</c:v>
                </c:pt>
                <c:pt idx="4">
                  <c:v>630.0</c:v>
                </c:pt>
                <c:pt idx="5">
                  <c:v>942.0</c:v>
                </c:pt>
                <c:pt idx="6">
                  <c:v>1073.0</c:v>
                </c:pt>
                <c:pt idx="7">
                  <c:v>1030.0</c:v>
                </c:pt>
                <c:pt idx="8">
                  <c:v>1220.0</c:v>
                </c:pt>
                <c:pt idx="9">
                  <c:v>1351.0</c:v>
                </c:pt>
                <c:pt idx="10">
                  <c:v>1502.0</c:v>
                </c:pt>
                <c:pt idx="11">
                  <c:v>1770.0</c:v>
                </c:pt>
                <c:pt idx="12">
                  <c:v>1845.0</c:v>
                </c:pt>
                <c:pt idx="13">
                  <c:v>2204.0</c:v>
                </c:pt>
                <c:pt idx="14">
                  <c:v>2961.0</c:v>
                </c:pt>
                <c:pt idx="15">
                  <c:v>3418.0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7204136"/>
        <c:axId val="2067206040"/>
      </c:barChart>
      <c:catAx>
        <c:axId val="206720413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2067206040"/>
        <c:crosses val="autoZero"/>
        <c:auto val="1"/>
        <c:lblAlgn val="ctr"/>
        <c:lblOffset val="100"/>
        <c:noMultiLvlLbl val="0"/>
      </c:catAx>
      <c:valAx>
        <c:axId val="2067206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7204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Sheet1!$D$5</c:f>
              <c:strCache>
                <c:ptCount val="1"/>
                <c:pt idx="0">
                  <c:v>[2]</c:v>
                </c:pt>
              </c:strCache>
            </c:strRef>
          </c:tx>
          <c:invertIfNegative val="0"/>
          <c:cat>
            <c:strRef>
              <c:f>Sheet1!$B$6:$B$20</c:f>
              <c:strCache>
                <c:ptCount val="15"/>
                <c:pt idx="0">
                  <c:v>5 - 9 anos</c:v>
                </c:pt>
                <c:pt idx="1">
                  <c:v>10 - 14 anos</c:v>
                </c:pt>
                <c:pt idx="2">
                  <c:v>15 - 19 anos</c:v>
                </c:pt>
                <c:pt idx="3">
                  <c:v>20 - 24 anos</c:v>
                </c:pt>
                <c:pt idx="4">
                  <c:v>25 - 29 anos</c:v>
                </c:pt>
                <c:pt idx="5">
                  <c:v>30 - 34 anos</c:v>
                </c:pt>
                <c:pt idx="6">
                  <c:v>35 - 39 anos</c:v>
                </c:pt>
                <c:pt idx="7">
                  <c:v>40 - 44 anos</c:v>
                </c:pt>
                <c:pt idx="8">
                  <c:v>45 - 49 anos</c:v>
                </c:pt>
                <c:pt idx="9">
                  <c:v>50 - 54 anos</c:v>
                </c:pt>
                <c:pt idx="10">
                  <c:v>55 - 59 anos</c:v>
                </c:pt>
                <c:pt idx="11">
                  <c:v>60 - 64 anos</c:v>
                </c:pt>
                <c:pt idx="12">
                  <c:v>65 - 69 anos</c:v>
                </c:pt>
                <c:pt idx="13">
                  <c:v>70 - 74 anos</c:v>
                </c:pt>
                <c:pt idx="14">
                  <c:v>75 - 79 anos</c:v>
                </c:pt>
              </c:strCache>
            </c:strRef>
          </c:cat>
          <c:val>
            <c:numRef>
              <c:f>Sheet1!$D$6:$D$20</c:f>
              <c:numCache>
                <c:formatCode>General</c:formatCode>
                <c:ptCount val="15"/>
                <c:pt idx="0">
                  <c:v>6916.0</c:v>
                </c:pt>
                <c:pt idx="1">
                  <c:v>11383.0</c:v>
                </c:pt>
                <c:pt idx="2">
                  <c:v>11575.0</c:v>
                </c:pt>
                <c:pt idx="3">
                  <c:v>11947.0</c:v>
                </c:pt>
                <c:pt idx="4">
                  <c:v>13923.0</c:v>
                </c:pt>
                <c:pt idx="5">
                  <c:v>18096.0</c:v>
                </c:pt>
                <c:pt idx="6">
                  <c:v>21590.0</c:v>
                </c:pt>
                <c:pt idx="7">
                  <c:v>27821.0</c:v>
                </c:pt>
                <c:pt idx="8">
                  <c:v>50497.0</c:v>
                </c:pt>
                <c:pt idx="9">
                  <c:v>69447.0</c:v>
                </c:pt>
                <c:pt idx="10">
                  <c:v>77609.0</c:v>
                </c:pt>
                <c:pt idx="11">
                  <c:v>80178.0</c:v>
                </c:pt>
                <c:pt idx="12">
                  <c:v>84286.0</c:v>
                </c:pt>
                <c:pt idx="13">
                  <c:v>98680.0</c:v>
                </c:pt>
                <c:pt idx="14">
                  <c:v>110353.0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7273976"/>
        <c:axId val="2067276952"/>
      </c:barChart>
      <c:catAx>
        <c:axId val="20672739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2067276952"/>
        <c:crosses val="autoZero"/>
        <c:auto val="1"/>
        <c:lblAlgn val="ctr"/>
        <c:lblOffset val="100"/>
        <c:noMultiLvlLbl val="0"/>
      </c:catAx>
      <c:valAx>
        <c:axId val="2067276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7273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0.0826987472390362"/>
                  <c:y val="0.05303400904674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-0.282779679306682"/>
                  <c:y val="-0.12299303979652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</c:dLbl>
            <c:txPr>
              <a:bodyPr/>
              <a:lstStyle/>
              <a:p>
                <a:pPr>
                  <a:defRPr sz="16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val>
            <c:numRef>
              <c:f>Sheet1!$C$24:$D$24</c:f>
              <c:numCache>
                <c:formatCode>General</c:formatCode>
                <c:ptCount val="2"/>
                <c:pt idx="0">
                  <c:v>27659.0</c:v>
                </c:pt>
                <c:pt idx="1">
                  <c:v>892860.0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Sheet1!$F$7:$F$23</c:f>
              <c:numCache>
                <c:formatCode>General</c:formatCode>
                <c:ptCount val="17"/>
                <c:pt idx="0">
                  <c:v>44.0</c:v>
                </c:pt>
                <c:pt idx="1">
                  <c:v>79.0</c:v>
                </c:pt>
                <c:pt idx="2">
                  <c:v>123.0</c:v>
                </c:pt>
                <c:pt idx="3">
                  <c:v>84.0</c:v>
                </c:pt>
                <c:pt idx="4">
                  <c:v>312.0</c:v>
                </c:pt>
                <c:pt idx="5">
                  <c:v>131.0</c:v>
                </c:pt>
                <c:pt idx="6">
                  <c:v>-43.0</c:v>
                </c:pt>
                <c:pt idx="7">
                  <c:v>190.0</c:v>
                </c:pt>
                <c:pt idx="8">
                  <c:v>131.0</c:v>
                </c:pt>
                <c:pt idx="9">
                  <c:v>151.0</c:v>
                </c:pt>
                <c:pt idx="10">
                  <c:v>268.0</c:v>
                </c:pt>
                <c:pt idx="11">
                  <c:v>75.0</c:v>
                </c:pt>
                <c:pt idx="12">
                  <c:v>359.0</c:v>
                </c:pt>
                <c:pt idx="13">
                  <c:v>757.0</c:v>
                </c:pt>
                <c:pt idx="14">
                  <c:v>457.0</c:v>
                </c:pt>
                <c:pt idx="15">
                  <c:v>-227.0</c:v>
                </c:pt>
                <c:pt idx="16">
                  <c:v>-282.0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7322936"/>
        <c:axId val="2067325880"/>
      </c:barChart>
      <c:catAx>
        <c:axId val="2067322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67325880"/>
        <c:crosses val="autoZero"/>
        <c:auto val="1"/>
        <c:lblAlgn val="ctr"/>
        <c:lblOffset val="100"/>
        <c:noMultiLvlLbl val="0"/>
      </c:catAx>
      <c:valAx>
        <c:axId val="2067325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7322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val>
            <c:numRef>
              <c:f>Sheet1!$G$7:$G$23</c:f>
              <c:numCache>
                <c:formatCode>General</c:formatCode>
                <c:ptCount val="17"/>
                <c:pt idx="0">
                  <c:v>4467.0</c:v>
                </c:pt>
                <c:pt idx="1">
                  <c:v>192.0</c:v>
                </c:pt>
                <c:pt idx="2">
                  <c:v>372.0</c:v>
                </c:pt>
                <c:pt idx="3">
                  <c:v>1976.0</c:v>
                </c:pt>
                <c:pt idx="4">
                  <c:v>4173.0</c:v>
                </c:pt>
                <c:pt idx="5">
                  <c:v>3494.0</c:v>
                </c:pt>
                <c:pt idx="6">
                  <c:v>6231.0</c:v>
                </c:pt>
                <c:pt idx="7">
                  <c:v>22676.0</c:v>
                </c:pt>
                <c:pt idx="8">
                  <c:v>18950.0</c:v>
                </c:pt>
                <c:pt idx="9">
                  <c:v>8162.0</c:v>
                </c:pt>
                <c:pt idx="10">
                  <c:v>2569.0</c:v>
                </c:pt>
                <c:pt idx="11">
                  <c:v>4108.0</c:v>
                </c:pt>
                <c:pt idx="12">
                  <c:v>14394.0</c:v>
                </c:pt>
                <c:pt idx="13">
                  <c:v>11673.0</c:v>
                </c:pt>
                <c:pt idx="14">
                  <c:v>-11751.0</c:v>
                </c:pt>
                <c:pt idx="15">
                  <c:v>-32247.0</c:v>
                </c:pt>
                <c:pt idx="16">
                  <c:v>-32753.0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7349704"/>
        <c:axId val="2067352616"/>
      </c:barChart>
      <c:catAx>
        <c:axId val="2067349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067352616"/>
        <c:crosses val="autoZero"/>
        <c:auto val="1"/>
        <c:lblAlgn val="ctr"/>
        <c:lblOffset val="100"/>
        <c:noMultiLvlLbl val="0"/>
      </c:catAx>
      <c:valAx>
        <c:axId val="2067352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7349704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Empregabilidade na População com pelo menos 1 dificuldade</c:v>
          </c:tx>
          <c:explosion val="25"/>
          <c:dLbls>
            <c:showLegendKey val="1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(Sheet2!$B$9,Sheet2!$B$11)</c:f>
              <c:strCache>
                <c:ptCount val="2"/>
                <c:pt idx="0">
                  <c:v>Empregados</c:v>
                </c:pt>
                <c:pt idx="1">
                  <c:v>Desempregados</c:v>
                </c:pt>
              </c:strCache>
            </c:strRef>
          </c:cat>
          <c:val>
            <c:numRef>
              <c:f>(Sheet2!$D$9,Sheet2!$D$11)</c:f>
              <c:numCache>
                <c:formatCode>General</c:formatCode>
                <c:ptCount val="2"/>
                <c:pt idx="0">
                  <c:v>310414.0</c:v>
                </c:pt>
                <c:pt idx="1">
                  <c:v>73715.0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Empregabilidade na População que não consegue Ver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explosion val="25"/>
          <c:dLbls>
            <c:showLegendKey val="1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(Sheet2!$B$9,Sheet2!$B$11)</c:f>
              <c:strCache>
                <c:ptCount val="2"/>
                <c:pt idx="0">
                  <c:v>Empregados</c:v>
                </c:pt>
                <c:pt idx="1">
                  <c:v>Desempregados</c:v>
                </c:pt>
              </c:strCache>
            </c:strRef>
          </c:cat>
          <c:val>
            <c:numRef>
              <c:f>(Sheet2!$F$9,Sheet2!$F$11)</c:f>
              <c:numCache>
                <c:formatCode>General</c:formatCode>
                <c:ptCount val="2"/>
                <c:pt idx="0">
                  <c:v>3814.0</c:v>
                </c:pt>
                <c:pt idx="1">
                  <c:v>642.0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Empregabilidade na População com dificuldade para Ver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Empregabilidade na População em dificuldade para Ver</c:v>
          </c:tx>
          <c:explosion val="25"/>
          <c:dLbls>
            <c:showLegendKey val="1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(Sheet2!$B$9,Sheet2!$B$11)</c:f>
              <c:strCache>
                <c:ptCount val="2"/>
                <c:pt idx="0">
                  <c:v>Empregados</c:v>
                </c:pt>
                <c:pt idx="1">
                  <c:v>Desempregados</c:v>
                </c:pt>
              </c:strCache>
            </c:strRef>
          </c:cat>
          <c:val>
            <c:numRef>
              <c:f>(Sheet2!$G$9,Sheet2!$G$11)</c:f>
              <c:numCache>
                <c:formatCode>General</c:formatCode>
                <c:ptCount val="2"/>
                <c:pt idx="0">
                  <c:v>173301.0</c:v>
                </c:pt>
                <c:pt idx="1">
                  <c:v>43211.0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v>Principal meio de vida das pessoas com dificuldades para ver</c:v>
          </c:tx>
          <c:explosion val="25"/>
          <c:dLbls>
            <c:dLbl>
              <c:idx val="0"/>
              <c:layout>
                <c:manualLayout>
                  <c:x val="0.0958700972817958"/>
                  <c:y val="0.129844756621331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303183722913757"/>
                  <c:y val="-0.19282614531138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</c:dLbl>
            <c:showLegendKey val="1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(Sheet3!$D$8,Sheet3!$D$10,Sheet3!$D$12,Sheet3!$D$14,Sheet3!$D$16,Sheet3!$D$18,Sheet3!$D$20,Sheet3!$D$22,Sheet3!$D$24)</c:f>
              <c:strCache>
                <c:ptCount val="9"/>
                <c:pt idx="0">
                  <c:v>Trabalho</c:v>
                </c:pt>
                <c:pt idx="1">
                  <c:v>Reforma/ Pensão</c:v>
                </c:pt>
                <c:pt idx="2">
                  <c:v>Subsidio de desemprego</c:v>
                </c:pt>
                <c:pt idx="3">
                  <c:v>Subsidio por acidente de trabalho ou doença profissional</c:v>
                </c:pt>
                <c:pt idx="4">
                  <c:v>Rendimento social de inserção</c:v>
                </c:pt>
                <c:pt idx="5">
                  <c:v>Outro subsídio temporário (doença, maternidade, etc.) </c:v>
                </c:pt>
                <c:pt idx="6">
                  <c:v>Rendimento da propriedade ou da empresa</c:v>
                </c:pt>
                <c:pt idx="7">
                  <c:v>Apoio social</c:v>
                </c:pt>
                <c:pt idx="8">
                  <c:v>A cargo da família</c:v>
                </c:pt>
              </c:strCache>
            </c:strRef>
          </c:cat>
          <c:val>
            <c:numRef>
              <c:f>(Sheet3!$J$8,Sheet3!$J$10,Sheet3!$J$12,Sheet3!$J$14,Sheet3!$J$16,Sheet3!$J$18,Sheet3!$J$20,Sheet3!$J$22,Sheet3!$J$24,Sheet3!$J$26)</c:f>
              <c:numCache>
                <c:formatCode>General</c:formatCode>
                <c:ptCount val="10"/>
                <c:pt idx="0">
                  <c:v>171337.0</c:v>
                </c:pt>
                <c:pt idx="1">
                  <c:v>575938.0</c:v>
                </c:pt>
                <c:pt idx="2">
                  <c:v>23104.0</c:v>
                </c:pt>
                <c:pt idx="3">
                  <c:v>3014.0</c:v>
                </c:pt>
                <c:pt idx="4">
                  <c:v>14824.0</c:v>
                </c:pt>
                <c:pt idx="5">
                  <c:v>5495.0</c:v>
                </c:pt>
                <c:pt idx="6">
                  <c:v>3453.0</c:v>
                </c:pt>
                <c:pt idx="7">
                  <c:v>6240.0</c:v>
                </c:pt>
                <c:pt idx="8">
                  <c:v>77687.0</c:v>
                </c:pt>
                <c:pt idx="9">
                  <c:v>20484.0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0.123946071489265"/>
                  <c:y val="0.1047424329469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34480350365377"/>
                  <c:y val="-0.21203113559302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(Sheet3!$D$8,Sheet3!$D$10,Sheet3!$D$12,Sheet3!$D$14,Sheet3!$D$16,Sheet3!$D$18,Sheet3!$D$20,Sheet3!$D$22,Sheet3!$D$24,Sheet3!$D$26)</c:f>
              <c:strCache>
                <c:ptCount val="10"/>
                <c:pt idx="0">
                  <c:v>Trabalho</c:v>
                </c:pt>
                <c:pt idx="1">
                  <c:v>Reforma/ Pensão</c:v>
                </c:pt>
                <c:pt idx="2">
                  <c:v>Subsidio de desemprego</c:v>
                </c:pt>
                <c:pt idx="3">
                  <c:v>Subsidio por acidente de trabalho ou doença profissional</c:v>
                </c:pt>
                <c:pt idx="4">
                  <c:v>Rendimento social de inserção</c:v>
                </c:pt>
                <c:pt idx="5">
                  <c:v>Outro subsídio temporário (doença, maternidade, etc.) </c:v>
                </c:pt>
                <c:pt idx="6">
                  <c:v>Rendimento da propriedade ou da empresa</c:v>
                </c:pt>
                <c:pt idx="7">
                  <c:v>Apoio social</c:v>
                </c:pt>
                <c:pt idx="8">
                  <c:v>A cargo da família</c:v>
                </c:pt>
                <c:pt idx="9">
                  <c:v>Outro</c:v>
                </c:pt>
              </c:strCache>
            </c:strRef>
          </c:cat>
          <c:val>
            <c:numRef>
              <c:f>(Sheet3!$G$8,Sheet3!$G$10,Sheet3!$G$12,Sheet3!$G$14,Sheet3!$G$16,Sheet3!$G$18,Sheet3!$G$20,Sheet3!$G$22,Sheet3!$G$24,Sheet3!$G$26)</c:f>
              <c:numCache>
                <c:formatCode>General</c:formatCode>
                <c:ptCount val="10"/>
                <c:pt idx="0">
                  <c:v>302743.0</c:v>
                </c:pt>
                <c:pt idx="1">
                  <c:v>1.146012E6</c:v>
                </c:pt>
                <c:pt idx="2">
                  <c:v>40417.0</c:v>
                </c:pt>
                <c:pt idx="3">
                  <c:v>7618.0</c:v>
                </c:pt>
                <c:pt idx="4">
                  <c:v>26304.0</c:v>
                </c:pt>
                <c:pt idx="5">
                  <c:v>13199.0</c:v>
                </c:pt>
                <c:pt idx="6">
                  <c:v>7754.0</c:v>
                </c:pt>
                <c:pt idx="7">
                  <c:v>13298.0</c:v>
                </c:pt>
                <c:pt idx="8">
                  <c:v>145793.0</c:v>
                </c:pt>
                <c:pt idx="9">
                  <c:v>37367.0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558800</xdr:colOff>
      <xdr:row>55</xdr:row>
      <xdr:rowOff>19050</xdr:rowOff>
    </xdr:from>
    <xdr:to>
      <xdr:col>13</xdr:col>
      <xdr:colOff>774700</xdr:colOff>
      <xdr:row>77</xdr:row>
      <xdr:rowOff>88900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55</xdr:row>
      <xdr:rowOff>19050</xdr:rowOff>
    </xdr:from>
    <xdr:to>
      <xdr:col>22</xdr:col>
      <xdr:colOff>241300</xdr:colOff>
      <xdr:row>77</xdr:row>
      <xdr:rowOff>88900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101600</xdr:colOff>
      <xdr:row>82</xdr:row>
      <xdr:rowOff>69850</xdr:rowOff>
    </xdr:from>
    <xdr:to>
      <xdr:col>17</xdr:col>
      <xdr:colOff>254000</xdr:colOff>
      <xdr:row>99</xdr:row>
      <xdr:rowOff>114300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533400</xdr:colOff>
      <xdr:row>31</xdr:row>
      <xdr:rowOff>127000</xdr:rowOff>
    </xdr:from>
    <xdr:to>
      <xdr:col>13</xdr:col>
      <xdr:colOff>609600</xdr:colOff>
      <xdr:row>54</xdr:row>
      <xdr:rowOff>50800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787400</xdr:colOff>
      <xdr:row>31</xdr:row>
      <xdr:rowOff>165100</xdr:rowOff>
    </xdr:from>
    <xdr:to>
      <xdr:col>24</xdr:col>
      <xdr:colOff>38100</xdr:colOff>
      <xdr:row>54</xdr:row>
      <xdr:rowOff>88900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635000</xdr:colOff>
      <xdr:row>1</xdr:row>
      <xdr:rowOff>25400</xdr:rowOff>
    </xdr:from>
    <xdr:to>
      <xdr:col>15</xdr:col>
      <xdr:colOff>114300</xdr:colOff>
      <xdr:row>18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381000</xdr:colOff>
      <xdr:row>20</xdr:row>
      <xdr:rowOff>6350</xdr:rowOff>
    </xdr:from>
    <xdr:to>
      <xdr:col>15</xdr:col>
      <xdr:colOff>0</xdr:colOff>
      <xdr:row>34</xdr:row>
      <xdr:rowOff>82550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635000</xdr:colOff>
      <xdr:row>19</xdr:row>
      <xdr:rowOff>0</xdr:rowOff>
    </xdr:from>
    <xdr:to>
      <xdr:col>15</xdr:col>
      <xdr:colOff>114300</xdr:colOff>
      <xdr:row>35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635000</xdr:colOff>
      <xdr:row>35</xdr:row>
      <xdr:rowOff>152400</xdr:rowOff>
    </xdr:from>
    <xdr:to>
      <xdr:col>15</xdr:col>
      <xdr:colOff>114300</xdr:colOff>
      <xdr:row>51</xdr:row>
      <xdr:rowOff>171450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29</xdr:row>
      <xdr:rowOff>139700</xdr:rowOff>
    </xdr:from>
    <xdr:to>
      <xdr:col>12</xdr:col>
      <xdr:colOff>292100</xdr:colOff>
      <xdr:row>53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406400</xdr:colOff>
      <xdr:row>29</xdr:row>
      <xdr:rowOff>146050</xdr:rowOff>
    </xdr:from>
    <xdr:to>
      <xdr:col>21</xdr:col>
      <xdr:colOff>38100</xdr:colOff>
      <xdr:row>53</xdr:row>
      <xdr:rowOff>12700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7"/>
  <sheetViews>
    <sheetView topLeftCell="A47" workbookViewId="0">
      <selection activeCell="B40" sqref="B40"/>
    </sheetView>
  </sheetViews>
  <sheetFormatPr baseColWidth="10" defaultRowHeight="15" x14ac:dyDescent="0"/>
  <cols>
    <col min="2" max="2" width="17.83203125" customWidth="1"/>
  </cols>
  <sheetData>
    <row r="3" spans="2:7">
      <c r="B3" t="s">
        <v>24</v>
      </c>
    </row>
    <row r="5" spans="2:7">
      <c r="B5" s="2" t="s">
        <v>0</v>
      </c>
      <c r="C5" s="1" t="s">
        <v>19</v>
      </c>
      <c r="D5" s="1" t="s">
        <v>20</v>
      </c>
      <c r="E5" s="1" t="s">
        <v>26</v>
      </c>
      <c r="F5" t="s">
        <v>25</v>
      </c>
    </row>
    <row r="6" spans="2:7">
      <c r="B6" t="s">
        <v>1</v>
      </c>
      <c r="C6">
        <v>300</v>
      </c>
      <c r="D6">
        <v>6916</v>
      </c>
      <c r="E6">
        <f>+C6+D6</f>
        <v>7216</v>
      </c>
    </row>
    <row r="7" spans="2:7">
      <c r="B7" t="s">
        <v>2</v>
      </c>
      <c r="C7">
        <v>344</v>
      </c>
      <c r="D7">
        <v>11383</v>
      </c>
      <c r="E7">
        <f t="shared" ref="E7:E23" si="0">+C7+D7</f>
        <v>11727</v>
      </c>
      <c r="F7">
        <f>+C7-C6</f>
        <v>44</v>
      </c>
      <c r="G7">
        <f>+D7-D6</f>
        <v>4467</v>
      </c>
    </row>
    <row r="8" spans="2:7">
      <c r="B8" t="s">
        <v>3</v>
      </c>
      <c r="C8">
        <v>423</v>
      </c>
      <c r="D8">
        <v>11575</v>
      </c>
      <c r="E8">
        <f t="shared" si="0"/>
        <v>11998</v>
      </c>
      <c r="F8">
        <f t="shared" ref="F8:G23" si="1">+C8-C7</f>
        <v>79</v>
      </c>
      <c r="G8">
        <f t="shared" si="1"/>
        <v>192</v>
      </c>
    </row>
    <row r="9" spans="2:7">
      <c r="B9" t="s">
        <v>4</v>
      </c>
      <c r="C9">
        <v>546</v>
      </c>
      <c r="D9">
        <v>11947</v>
      </c>
      <c r="E9">
        <f t="shared" si="0"/>
        <v>12493</v>
      </c>
      <c r="F9">
        <f t="shared" si="1"/>
        <v>123</v>
      </c>
      <c r="G9">
        <f t="shared" si="1"/>
        <v>372</v>
      </c>
    </row>
    <row r="10" spans="2:7">
      <c r="B10" t="s">
        <v>5</v>
      </c>
      <c r="C10">
        <v>630</v>
      </c>
      <c r="D10">
        <v>13923</v>
      </c>
      <c r="E10">
        <f t="shared" si="0"/>
        <v>14553</v>
      </c>
      <c r="F10">
        <f t="shared" si="1"/>
        <v>84</v>
      </c>
      <c r="G10">
        <f t="shared" si="1"/>
        <v>1976</v>
      </c>
    </row>
    <row r="11" spans="2:7">
      <c r="B11" t="s">
        <v>6</v>
      </c>
      <c r="C11">
        <v>942</v>
      </c>
      <c r="D11">
        <v>18096</v>
      </c>
      <c r="E11">
        <f t="shared" si="0"/>
        <v>19038</v>
      </c>
      <c r="F11">
        <f t="shared" si="1"/>
        <v>312</v>
      </c>
      <c r="G11">
        <f t="shared" si="1"/>
        <v>4173</v>
      </c>
    </row>
    <row r="12" spans="2:7">
      <c r="B12" t="s">
        <v>7</v>
      </c>
      <c r="C12">
        <v>1073</v>
      </c>
      <c r="D12">
        <v>21590</v>
      </c>
      <c r="E12">
        <f t="shared" si="0"/>
        <v>22663</v>
      </c>
      <c r="F12">
        <f t="shared" si="1"/>
        <v>131</v>
      </c>
      <c r="G12">
        <f t="shared" si="1"/>
        <v>3494</v>
      </c>
    </row>
    <row r="13" spans="2:7">
      <c r="B13" t="s">
        <v>8</v>
      </c>
      <c r="C13">
        <v>1030</v>
      </c>
      <c r="D13">
        <v>27821</v>
      </c>
      <c r="E13">
        <f t="shared" si="0"/>
        <v>28851</v>
      </c>
      <c r="F13">
        <f t="shared" si="1"/>
        <v>-43</v>
      </c>
      <c r="G13">
        <f t="shared" si="1"/>
        <v>6231</v>
      </c>
    </row>
    <row r="14" spans="2:7">
      <c r="B14" t="s">
        <v>9</v>
      </c>
      <c r="C14">
        <v>1220</v>
      </c>
      <c r="D14">
        <v>50497</v>
      </c>
      <c r="E14">
        <f t="shared" si="0"/>
        <v>51717</v>
      </c>
      <c r="F14">
        <f t="shared" si="1"/>
        <v>190</v>
      </c>
      <c r="G14">
        <f t="shared" si="1"/>
        <v>22676</v>
      </c>
    </row>
    <row r="15" spans="2:7">
      <c r="B15" t="s">
        <v>10</v>
      </c>
      <c r="C15">
        <v>1351</v>
      </c>
      <c r="D15">
        <v>69447</v>
      </c>
      <c r="E15">
        <f t="shared" si="0"/>
        <v>70798</v>
      </c>
      <c r="F15">
        <f t="shared" si="1"/>
        <v>131</v>
      </c>
      <c r="G15">
        <f t="shared" si="1"/>
        <v>18950</v>
      </c>
    </row>
    <row r="16" spans="2:7">
      <c r="B16" t="s">
        <v>11</v>
      </c>
      <c r="C16">
        <v>1502</v>
      </c>
      <c r="D16">
        <v>77609</v>
      </c>
      <c r="E16">
        <f t="shared" si="0"/>
        <v>79111</v>
      </c>
      <c r="F16">
        <f t="shared" si="1"/>
        <v>151</v>
      </c>
      <c r="G16">
        <f t="shared" si="1"/>
        <v>8162</v>
      </c>
    </row>
    <row r="17" spans="2:7">
      <c r="B17" t="s">
        <v>12</v>
      </c>
      <c r="C17">
        <v>1770</v>
      </c>
      <c r="D17">
        <v>80178</v>
      </c>
      <c r="E17">
        <f t="shared" si="0"/>
        <v>81948</v>
      </c>
      <c r="F17">
        <f t="shared" si="1"/>
        <v>268</v>
      </c>
      <c r="G17">
        <f t="shared" si="1"/>
        <v>2569</v>
      </c>
    </row>
    <row r="18" spans="2:7">
      <c r="B18" t="s">
        <v>13</v>
      </c>
      <c r="C18">
        <v>1845</v>
      </c>
      <c r="D18">
        <v>84286</v>
      </c>
      <c r="E18">
        <f t="shared" si="0"/>
        <v>86131</v>
      </c>
      <c r="F18">
        <f t="shared" si="1"/>
        <v>75</v>
      </c>
      <c r="G18">
        <f t="shared" si="1"/>
        <v>4108</v>
      </c>
    </row>
    <row r="19" spans="2:7">
      <c r="B19" t="s">
        <v>14</v>
      </c>
      <c r="C19">
        <v>2204</v>
      </c>
      <c r="D19">
        <v>98680</v>
      </c>
      <c r="E19">
        <f t="shared" si="0"/>
        <v>100884</v>
      </c>
      <c r="F19">
        <f t="shared" si="1"/>
        <v>359</v>
      </c>
      <c r="G19">
        <f t="shared" si="1"/>
        <v>14394</v>
      </c>
    </row>
    <row r="20" spans="2:7">
      <c r="B20" t="s">
        <v>15</v>
      </c>
      <c r="C20">
        <v>2961</v>
      </c>
      <c r="D20">
        <v>110353</v>
      </c>
      <c r="E20">
        <f t="shared" si="0"/>
        <v>113314</v>
      </c>
      <c r="F20">
        <f t="shared" si="1"/>
        <v>757</v>
      </c>
      <c r="G20">
        <f t="shared" si="1"/>
        <v>11673</v>
      </c>
    </row>
    <row r="21" spans="2:7">
      <c r="B21" t="s">
        <v>16</v>
      </c>
      <c r="C21">
        <v>3418</v>
      </c>
      <c r="D21">
        <v>98602</v>
      </c>
      <c r="E21">
        <f t="shared" si="0"/>
        <v>102020</v>
      </c>
      <c r="F21">
        <f t="shared" si="1"/>
        <v>457</v>
      </c>
      <c r="G21">
        <f t="shared" si="1"/>
        <v>-11751</v>
      </c>
    </row>
    <row r="22" spans="2:7">
      <c r="B22" t="s">
        <v>17</v>
      </c>
      <c r="C22">
        <v>3191</v>
      </c>
      <c r="D22">
        <v>66355</v>
      </c>
      <c r="E22">
        <f t="shared" si="0"/>
        <v>69546</v>
      </c>
      <c r="F22">
        <f t="shared" si="1"/>
        <v>-227</v>
      </c>
      <c r="G22">
        <f t="shared" si="1"/>
        <v>-32247</v>
      </c>
    </row>
    <row r="23" spans="2:7">
      <c r="B23" t="s">
        <v>18</v>
      </c>
      <c r="C23">
        <v>2909</v>
      </c>
      <c r="D23">
        <v>33602</v>
      </c>
      <c r="E23">
        <f t="shared" si="0"/>
        <v>36511</v>
      </c>
      <c r="F23">
        <f t="shared" si="1"/>
        <v>-282</v>
      </c>
      <c r="G23">
        <f t="shared" si="1"/>
        <v>-32753</v>
      </c>
    </row>
    <row r="24" spans="2:7">
      <c r="C24">
        <f>SUM(C6:C23)</f>
        <v>27659</v>
      </c>
      <c r="D24">
        <f>SUM(D6:D23)</f>
        <v>892860</v>
      </c>
      <c r="E24">
        <f>+D24+C24</f>
        <v>920519</v>
      </c>
    </row>
    <row r="25" spans="2:7">
      <c r="B25" t="s">
        <v>21</v>
      </c>
    </row>
    <row r="26" spans="2:7">
      <c r="B26" t="s">
        <v>22</v>
      </c>
    </row>
    <row r="27" spans="2:7">
      <c r="B27" t="s">
        <v>23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4"/>
  <sheetViews>
    <sheetView workbookViewId="0">
      <selection activeCell="F11" sqref="F11"/>
    </sheetView>
  </sheetViews>
  <sheetFormatPr baseColWidth="10" defaultRowHeight="15" x14ac:dyDescent="0"/>
  <cols>
    <col min="2" max="2" width="24.1640625" customWidth="1"/>
  </cols>
  <sheetData>
    <row r="3" spans="2:7">
      <c r="E3" t="s">
        <v>33</v>
      </c>
    </row>
    <row r="4" spans="2:7">
      <c r="D4" t="s">
        <v>30</v>
      </c>
      <c r="E4" t="s">
        <v>32</v>
      </c>
      <c r="F4" t="s">
        <v>31</v>
      </c>
      <c r="G4" t="s">
        <v>43</v>
      </c>
    </row>
    <row r="5" spans="2:7">
      <c r="B5" t="s">
        <v>29</v>
      </c>
      <c r="C5" t="s">
        <v>27</v>
      </c>
      <c r="D5">
        <v>1740505</v>
      </c>
      <c r="E5">
        <v>874561</v>
      </c>
      <c r="F5">
        <v>27015</v>
      </c>
      <c r="G5">
        <f>+E5+F5</f>
        <v>901576</v>
      </c>
    </row>
    <row r="6" spans="2:7">
      <c r="C6" t="s">
        <v>28</v>
      </c>
      <c r="D6">
        <v>674799</v>
      </c>
      <c r="E6">
        <v>309592</v>
      </c>
      <c r="F6">
        <v>11623</v>
      </c>
      <c r="G6">
        <f t="shared" ref="G6:G24" si="0">+E6+F6</f>
        <v>321215</v>
      </c>
    </row>
    <row r="7" spans="2:7">
      <c r="B7" t="s">
        <v>38</v>
      </c>
      <c r="C7" t="s">
        <v>27</v>
      </c>
      <c r="D7">
        <v>384129</v>
      </c>
      <c r="E7">
        <v>212056</v>
      </c>
      <c r="F7">
        <v>4456</v>
      </c>
      <c r="G7">
        <f t="shared" si="0"/>
        <v>216512</v>
      </c>
    </row>
    <row r="8" spans="2:7">
      <c r="C8" t="s">
        <v>28</v>
      </c>
      <c r="D8">
        <v>180115</v>
      </c>
      <c r="E8">
        <v>92565</v>
      </c>
      <c r="F8">
        <v>2601</v>
      </c>
      <c r="G8">
        <f t="shared" si="0"/>
        <v>95166</v>
      </c>
    </row>
    <row r="9" spans="2:7">
      <c r="B9" t="s">
        <v>37</v>
      </c>
      <c r="C9" t="s">
        <v>27</v>
      </c>
      <c r="D9">
        <v>310414</v>
      </c>
      <c r="E9">
        <v>169487</v>
      </c>
      <c r="F9">
        <v>3814</v>
      </c>
      <c r="G9">
        <f t="shared" si="0"/>
        <v>173301</v>
      </c>
    </row>
    <row r="10" spans="2:7">
      <c r="C10" t="s">
        <v>28</v>
      </c>
      <c r="D10">
        <v>146068</v>
      </c>
      <c r="E10">
        <v>74097</v>
      </c>
      <c r="F10">
        <v>2269</v>
      </c>
      <c r="G10">
        <f t="shared" si="0"/>
        <v>76366</v>
      </c>
    </row>
    <row r="11" spans="2:7">
      <c r="B11" t="s">
        <v>36</v>
      </c>
      <c r="C11" t="s">
        <v>27</v>
      </c>
      <c r="D11">
        <v>73715</v>
      </c>
      <c r="E11">
        <v>42569</v>
      </c>
      <c r="F11">
        <v>642</v>
      </c>
      <c r="G11">
        <f t="shared" si="0"/>
        <v>43211</v>
      </c>
    </row>
    <row r="12" spans="2:7">
      <c r="C12" t="s">
        <v>28</v>
      </c>
      <c r="D12">
        <v>34047</v>
      </c>
      <c r="E12">
        <v>18468</v>
      </c>
      <c r="F12">
        <v>332</v>
      </c>
      <c r="G12">
        <f t="shared" si="0"/>
        <v>18800</v>
      </c>
    </row>
    <row r="13" spans="2:7">
      <c r="B13" t="s">
        <v>35</v>
      </c>
      <c r="C13" t="s">
        <v>27</v>
      </c>
      <c r="D13">
        <v>1356376</v>
      </c>
      <c r="E13">
        <v>662505</v>
      </c>
      <c r="F13">
        <v>22559</v>
      </c>
      <c r="G13">
        <f t="shared" si="0"/>
        <v>685064</v>
      </c>
    </row>
    <row r="14" spans="2:7">
      <c r="C14" t="s">
        <v>28</v>
      </c>
      <c r="D14">
        <v>494684</v>
      </c>
      <c r="E14">
        <v>217027</v>
      </c>
      <c r="F14">
        <v>9022</v>
      </c>
      <c r="G14">
        <f t="shared" si="0"/>
        <v>226049</v>
      </c>
    </row>
    <row r="15" spans="2:7">
      <c r="B15" t="s">
        <v>34</v>
      </c>
      <c r="C15" t="s">
        <v>27</v>
      </c>
      <c r="D15">
        <v>24252</v>
      </c>
      <c r="E15">
        <v>12097</v>
      </c>
      <c r="F15">
        <v>385</v>
      </c>
      <c r="G15">
        <f t="shared" si="0"/>
        <v>12482</v>
      </c>
    </row>
    <row r="16" spans="2:7">
      <c r="C16" t="s">
        <v>28</v>
      </c>
      <c r="D16">
        <v>11559</v>
      </c>
      <c r="E16">
        <v>5137</v>
      </c>
      <c r="F16">
        <v>199</v>
      </c>
      <c r="G16">
        <f t="shared" si="0"/>
        <v>5336</v>
      </c>
    </row>
    <row r="17" spans="2:7">
      <c r="B17" t="s">
        <v>39</v>
      </c>
      <c r="C17" t="s">
        <v>27</v>
      </c>
      <c r="D17">
        <v>88362</v>
      </c>
      <c r="E17">
        <v>48761</v>
      </c>
      <c r="F17">
        <v>423</v>
      </c>
      <c r="G17">
        <f t="shared" si="0"/>
        <v>49184</v>
      </c>
    </row>
    <row r="18" spans="2:7">
      <c r="C18" t="s">
        <v>28</v>
      </c>
      <c r="D18">
        <v>1833</v>
      </c>
      <c r="E18">
        <v>873</v>
      </c>
      <c r="F18">
        <v>25</v>
      </c>
      <c r="G18">
        <f t="shared" si="0"/>
        <v>898</v>
      </c>
    </row>
    <row r="19" spans="2:7">
      <c r="B19" t="s">
        <v>40</v>
      </c>
      <c r="C19" t="s">
        <v>27</v>
      </c>
      <c r="D19">
        <v>1081397</v>
      </c>
      <c r="E19">
        <v>531554</v>
      </c>
      <c r="F19">
        <v>18139</v>
      </c>
      <c r="G19">
        <f t="shared" si="0"/>
        <v>549693</v>
      </c>
    </row>
    <row r="20" spans="2:7">
      <c r="C20" t="s">
        <v>28</v>
      </c>
      <c r="D20">
        <v>406729</v>
      </c>
      <c r="E20">
        <v>183158</v>
      </c>
      <c r="F20">
        <v>7006</v>
      </c>
      <c r="G20">
        <f t="shared" si="0"/>
        <v>190164</v>
      </c>
    </row>
    <row r="21" spans="2:7">
      <c r="B21" t="s">
        <v>41</v>
      </c>
      <c r="C21" t="s">
        <v>27</v>
      </c>
      <c r="D21">
        <v>90303</v>
      </c>
      <c r="E21">
        <v>33202</v>
      </c>
      <c r="F21">
        <v>2641</v>
      </c>
      <c r="G21">
        <f t="shared" si="0"/>
        <v>35843</v>
      </c>
    </row>
    <row r="22" spans="2:7">
      <c r="C22" t="s">
        <v>28</v>
      </c>
      <c r="D22">
        <v>45647</v>
      </c>
      <c r="E22">
        <v>14534</v>
      </c>
      <c r="F22">
        <v>1350</v>
      </c>
      <c r="G22">
        <f t="shared" si="0"/>
        <v>15884</v>
      </c>
    </row>
    <row r="23" spans="2:7">
      <c r="B23" t="s">
        <v>42</v>
      </c>
      <c r="C23" t="s">
        <v>27</v>
      </c>
      <c r="D23">
        <v>72062</v>
      </c>
      <c r="E23">
        <v>36891</v>
      </c>
      <c r="F23">
        <v>971</v>
      </c>
      <c r="G23">
        <f t="shared" si="0"/>
        <v>37862</v>
      </c>
    </row>
    <row r="24" spans="2:7">
      <c r="C24" t="s">
        <v>28</v>
      </c>
      <c r="D24">
        <v>28916</v>
      </c>
      <c r="E24">
        <v>13325</v>
      </c>
      <c r="F24">
        <v>442</v>
      </c>
      <c r="G24">
        <f t="shared" si="0"/>
        <v>13767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P29"/>
  <sheetViews>
    <sheetView tabSelected="1" topLeftCell="A6" workbookViewId="0">
      <selection activeCell="Q28" sqref="Q28"/>
    </sheetView>
  </sheetViews>
  <sheetFormatPr baseColWidth="10" defaultRowHeight="15" x14ac:dyDescent="0"/>
  <sheetData>
    <row r="4" spans="4:16">
      <c r="G4" t="s">
        <v>30</v>
      </c>
      <c r="H4" t="s">
        <v>57</v>
      </c>
    </row>
    <row r="5" spans="4:16">
      <c r="H5" t="s">
        <v>55</v>
      </c>
      <c r="I5" t="s">
        <v>56</v>
      </c>
      <c r="J5" t="s">
        <v>43</v>
      </c>
      <c r="L5" t="s">
        <v>58</v>
      </c>
    </row>
    <row r="6" spans="4:16">
      <c r="D6" t="s">
        <v>29</v>
      </c>
      <c r="F6" t="s">
        <v>27</v>
      </c>
      <c r="G6">
        <v>1740505</v>
      </c>
      <c r="H6">
        <v>874561</v>
      </c>
      <c r="I6">
        <v>27015</v>
      </c>
      <c r="J6">
        <f>+H6+I6</f>
        <v>901576</v>
      </c>
    </row>
    <row r="7" spans="4:16">
      <c r="F7" t="s">
        <v>28</v>
      </c>
      <c r="G7">
        <v>674799</v>
      </c>
      <c r="H7" s="3">
        <v>309592</v>
      </c>
      <c r="I7">
        <v>11623</v>
      </c>
      <c r="J7">
        <f t="shared" ref="J7:J27" si="0">+H7+I7</f>
        <v>321215</v>
      </c>
    </row>
    <row r="8" spans="4:16">
      <c r="D8" t="s">
        <v>44</v>
      </c>
      <c r="F8" t="s">
        <v>27</v>
      </c>
      <c r="G8">
        <v>302743</v>
      </c>
      <c r="H8" s="3">
        <v>167514</v>
      </c>
      <c r="I8">
        <v>3823</v>
      </c>
      <c r="J8">
        <f t="shared" si="0"/>
        <v>171337</v>
      </c>
      <c r="K8" s="4">
        <f>+J8/$J$6</f>
        <v>0.1900416603813766</v>
      </c>
      <c r="M8" s="4">
        <f>+H8/$H$6</f>
        <v>0.19154067011906545</v>
      </c>
      <c r="O8" s="4">
        <f>+I8/$I$6</f>
        <v>0.14151397371830465</v>
      </c>
    </row>
    <row r="9" spans="4:16">
      <c r="F9" t="s">
        <v>28</v>
      </c>
      <c r="G9">
        <v>143687</v>
      </c>
      <c r="H9" s="3">
        <v>73987</v>
      </c>
      <c r="I9">
        <v>2287</v>
      </c>
      <c r="J9">
        <f t="shared" si="0"/>
        <v>76274</v>
      </c>
      <c r="L9" s="4">
        <f>+J9/$J$7</f>
        <v>0.23745466432140466</v>
      </c>
      <c r="N9" s="4">
        <f>+H9/$H$7</f>
        <v>0.23898227344375825</v>
      </c>
      <c r="P9" s="4">
        <f>+I9/$I$7</f>
        <v>0.19676503484470448</v>
      </c>
    </row>
    <row r="10" spans="4:16">
      <c r="D10" t="s">
        <v>45</v>
      </c>
      <c r="F10" t="s">
        <v>27</v>
      </c>
      <c r="G10">
        <v>1146012</v>
      </c>
      <c r="H10" s="3">
        <v>556138</v>
      </c>
      <c r="I10">
        <v>19800</v>
      </c>
      <c r="J10">
        <f t="shared" si="0"/>
        <v>575938</v>
      </c>
      <c r="K10" s="4">
        <f>+J10/$J$6</f>
        <v>0.63881247948037656</v>
      </c>
      <c r="M10" s="4">
        <f>+H10/$H$6</f>
        <v>0.63590532850195702</v>
      </c>
      <c r="O10" s="4">
        <f>+I10/$I$6</f>
        <v>0.73292615213770129</v>
      </c>
    </row>
    <row r="11" spans="4:16">
      <c r="F11" t="s">
        <v>28</v>
      </c>
      <c r="G11">
        <v>435442</v>
      </c>
      <c r="H11" s="3">
        <v>192047</v>
      </c>
      <c r="I11">
        <v>7929</v>
      </c>
      <c r="J11">
        <f t="shared" si="0"/>
        <v>199976</v>
      </c>
      <c r="L11" s="4">
        <f>+J11/$J$7</f>
        <v>0.62256121289479005</v>
      </c>
      <c r="N11" s="4">
        <f>+H11/$H$7</f>
        <v>0.62032287656011786</v>
      </c>
      <c r="P11" s="4">
        <f>+I11/$I$7</f>
        <v>0.68218188075367803</v>
      </c>
    </row>
    <row r="12" spans="4:16">
      <c r="D12" t="s">
        <v>46</v>
      </c>
      <c r="F12" t="s">
        <v>27</v>
      </c>
      <c r="G12">
        <v>40417</v>
      </c>
      <c r="H12" s="3">
        <v>22800</v>
      </c>
      <c r="I12">
        <v>304</v>
      </c>
      <c r="J12">
        <f t="shared" si="0"/>
        <v>23104</v>
      </c>
      <c r="K12" s="4">
        <f>+J12/$J$6</f>
        <v>2.5626236723249065E-2</v>
      </c>
      <c r="M12" s="4">
        <f>+H12/$H$6</f>
        <v>2.6070222660283273E-2</v>
      </c>
      <c r="O12" s="4">
        <f>+I12/$I$6</f>
        <v>1.1253007588376827E-2</v>
      </c>
    </row>
    <row r="13" spans="4:16">
      <c r="F13" t="s">
        <v>28</v>
      </c>
      <c r="G13">
        <v>19478</v>
      </c>
      <c r="H13" s="3">
        <v>10492</v>
      </c>
      <c r="I13">
        <v>163</v>
      </c>
      <c r="J13">
        <f t="shared" si="0"/>
        <v>10655</v>
      </c>
      <c r="L13" s="4">
        <f>+J13/$J$7</f>
        <v>3.3170929128465358E-2</v>
      </c>
      <c r="N13" s="4">
        <f>+H13/$H$7</f>
        <v>3.3889764593400346E-2</v>
      </c>
      <c r="P13" s="4">
        <f>+I13/$I$7</f>
        <v>1.4023918093435429E-2</v>
      </c>
    </row>
    <row r="14" spans="4:16">
      <c r="D14" t="s">
        <v>49</v>
      </c>
      <c r="F14" t="s">
        <v>27</v>
      </c>
      <c r="G14">
        <v>7618</v>
      </c>
      <c r="H14" s="3">
        <v>2928</v>
      </c>
      <c r="I14">
        <v>86</v>
      </c>
      <c r="J14">
        <f t="shared" si="0"/>
        <v>3014</v>
      </c>
      <c r="K14" s="4">
        <f>+J14/$J$6</f>
        <v>3.3430348633947666E-3</v>
      </c>
      <c r="M14" s="4">
        <f>+H14/$H$6</f>
        <v>3.3479654363732206E-3</v>
      </c>
      <c r="O14" s="4">
        <f>+I14/$I$6</f>
        <v>3.1834166203960762E-3</v>
      </c>
    </row>
    <row r="15" spans="4:16">
      <c r="F15" t="s">
        <v>28</v>
      </c>
      <c r="G15">
        <v>4824</v>
      </c>
      <c r="H15" s="3">
        <v>1645</v>
      </c>
      <c r="I15">
        <v>60</v>
      </c>
      <c r="J15">
        <f t="shared" si="0"/>
        <v>1705</v>
      </c>
      <c r="L15" s="4">
        <f>+J15/$J$7</f>
        <v>5.3079712964836639E-3</v>
      </c>
      <c r="N15" s="4">
        <f>+H15/$H$7</f>
        <v>5.3134447918550863E-3</v>
      </c>
      <c r="P15" s="4">
        <f>+I15/$I$7</f>
        <v>5.1621784393013851E-3</v>
      </c>
    </row>
    <row r="16" spans="4:16">
      <c r="D16" t="s">
        <v>50</v>
      </c>
      <c r="F16" t="s">
        <v>27</v>
      </c>
      <c r="G16">
        <v>26304</v>
      </c>
      <c r="H16" s="3">
        <v>14532</v>
      </c>
      <c r="I16">
        <v>292</v>
      </c>
      <c r="J16">
        <f t="shared" si="0"/>
        <v>14824</v>
      </c>
      <c r="K16" s="4">
        <f>+J16/$J$6</f>
        <v>1.6442318783996025E-2</v>
      </c>
      <c r="M16" s="4">
        <f>+H16/$H$6</f>
        <v>1.6616336653475287E-2</v>
      </c>
      <c r="O16" s="4">
        <f>+I16/$I$6</f>
        <v>1.0808809920414584E-2</v>
      </c>
    </row>
    <row r="17" spans="4:16">
      <c r="F17" t="s">
        <v>28</v>
      </c>
      <c r="G17">
        <v>9865</v>
      </c>
      <c r="H17" s="3">
        <v>4884</v>
      </c>
      <c r="I17">
        <v>130</v>
      </c>
      <c r="J17">
        <f t="shared" si="0"/>
        <v>5014</v>
      </c>
      <c r="L17" s="4">
        <f>+J17/$J$7</f>
        <v>1.5609482745201813E-2</v>
      </c>
      <c r="N17" s="4">
        <f>+H17/$H$7</f>
        <v>1.5775601436729632E-2</v>
      </c>
      <c r="P17" s="4">
        <f>+I17/$I$7</f>
        <v>1.1184719951819667E-2</v>
      </c>
    </row>
    <row r="18" spans="4:16">
      <c r="D18" t="s">
        <v>51</v>
      </c>
      <c r="F18" t="s">
        <v>27</v>
      </c>
      <c r="G18">
        <v>13199</v>
      </c>
      <c r="H18" s="3">
        <v>5359</v>
      </c>
      <c r="I18">
        <v>136</v>
      </c>
      <c r="J18">
        <f t="shared" si="0"/>
        <v>5495</v>
      </c>
      <c r="K18" s="4">
        <f>+J18/$J$6</f>
        <v>6.0948827386709493E-3</v>
      </c>
      <c r="M18" s="4">
        <f>+H18/$H$6</f>
        <v>6.127645755985003E-3</v>
      </c>
      <c r="O18" s="4">
        <f>+I18/$I$6</f>
        <v>5.034240236905423E-3</v>
      </c>
    </row>
    <row r="19" spans="4:16">
      <c r="F19" t="s">
        <v>28</v>
      </c>
      <c r="G19">
        <v>5433</v>
      </c>
      <c r="H19" s="3">
        <v>2005</v>
      </c>
      <c r="I19">
        <v>64</v>
      </c>
      <c r="J19">
        <f t="shared" si="0"/>
        <v>2069</v>
      </c>
      <c r="L19" s="4">
        <f>+J19/$J$7</f>
        <v>6.4411686876391198E-3</v>
      </c>
      <c r="N19" s="4">
        <f>+H19/$H$7</f>
        <v>6.4762655365771726E-3</v>
      </c>
      <c r="P19" s="4">
        <f>+I19/$I$7</f>
        <v>5.5063236685881445E-3</v>
      </c>
    </row>
    <row r="20" spans="4:16">
      <c r="D20" t="s">
        <v>52</v>
      </c>
      <c r="F20" t="s">
        <v>27</v>
      </c>
      <c r="G20">
        <v>7754</v>
      </c>
      <c r="H20" s="3">
        <v>3350</v>
      </c>
      <c r="I20">
        <v>103</v>
      </c>
      <c r="J20">
        <f t="shared" si="0"/>
        <v>3453</v>
      </c>
      <c r="K20" s="4">
        <f>+J20/$J$6</f>
        <v>3.8299599811884967E-3</v>
      </c>
      <c r="M20" s="4">
        <f>+H20/$H$6</f>
        <v>3.8304932417521477E-3</v>
      </c>
      <c r="O20" s="4">
        <f>+I20/$I$6</f>
        <v>3.8126966500092543E-3</v>
      </c>
    </row>
    <row r="21" spans="4:16">
      <c r="F21" t="s">
        <v>28</v>
      </c>
      <c r="G21">
        <v>3014</v>
      </c>
      <c r="H21" s="3">
        <v>1239</v>
      </c>
      <c r="I21">
        <v>46</v>
      </c>
      <c r="J21">
        <f t="shared" si="0"/>
        <v>1285</v>
      </c>
      <c r="L21" s="4">
        <f>+J21/$J$7</f>
        <v>4.0004358451504445E-3</v>
      </c>
      <c r="N21" s="4">
        <f>+H21/$H$7</f>
        <v>4.0020413964185122E-3</v>
      </c>
      <c r="P21" s="4">
        <f>+I21/$I$7</f>
        <v>3.9576701367977285E-3</v>
      </c>
    </row>
    <row r="22" spans="4:16">
      <c r="D22" t="s">
        <v>47</v>
      </c>
      <c r="F22" t="s">
        <v>27</v>
      </c>
      <c r="G22">
        <v>13298</v>
      </c>
      <c r="H22" s="3">
        <v>5905</v>
      </c>
      <c r="I22">
        <v>335</v>
      </c>
      <c r="J22">
        <f t="shared" si="0"/>
        <v>6240</v>
      </c>
      <c r="K22" s="4">
        <f>+J22/$J$6</f>
        <v>6.9212135194370748E-3</v>
      </c>
      <c r="M22" s="4">
        <f>+H22/$H$6</f>
        <v>6.7519589828496807E-3</v>
      </c>
      <c r="O22" s="4">
        <f>+I22/$I$6</f>
        <v>1.2400518230612622E-2</v>
      </c>
    </row>
    <row r="23" spans="4:16">
      <c r="F23" t="s">
        <v>28</v>
      </c>
      <c r="G23">
        <v>4932</v>
      </c>
      <c r="H23" s="3">
        <v>1778</v>
      </c>
      <c r="I23">
        <v>146</v>
      </c>
      <c r="J23">
        <f t="shared" si="0"/>
        <v>1924</v>
      </c>
      <c r="L23" s="4">
        <f>+J23/$J$7</f>
        <v>5.9897576389645567E-3</v>
      </c>
      <c r="N23" s="4">
        <f>+H23/$H$7</f>
        <v>5.7430424558774125E-3</v>
      </c>
      <c r="P23" s="4">
        <f>+I23/$I$7</f>
        <v>1.2561300868966703E-2</v>
      </c>
    </row>
    <row r="24" spans="4:16">
      <c r="D24" t="s">
        <v>48</v>
      </c>
      <c r="F24" t="s">
        <v>27</v>
      </c>
      <c r="G24">
        <v>145793</v>
      </c>
      <c r="H24" s="3">
        <v>76051</v>
      </c>
      <c r="I24">
        <v>1636</v>
      </c>
      <c r="J24">
        <f t="shared" si="0"/>
        <v>77687</v>
      </c>
      <c r="K24" s="4">
        <f>+J24/$J$6</f>
        <v>8.6167999148158342E-2</v>
      </c>
      <c r="M24" s="4">
        <f>+H24/$H$6</f>
        <v>8.6959057172684359E-2</v>
      </c>
      <c r="O24" s="4">
        <f>+I24/$I$6</f>
        <v>6.055894873218582E-2</v>
      </c>
    </row>
    <row r="25" spans="4:16">
      <c r="F25" t="s">
        <v>28</v>
      </c>
      <c r="G25">
        <v>35462</v>
      </c>
      <c r="H25" s="3">
        <v>15439</v>
      </c>
      <c r="I25">
        <v>561</v>
      </c>
      <c r="J25">
        <f t="shared" si="0"/>
        <v>16000</v>
      </c>
      <c r="L25" s="4">
        <f>+J25/$J$7</f>
        <v>4.9810874336503587E-2</v>
      </c>
      <c r="N25" s="4">
        <f>+H25/$H$7</f>
        <v>4.9868859660456344E-2</v>
      </c>
      <c r="P25" s="4">
        <f>+I25/$I$7</f>
        <v>4.8266368407467952E-2</v>
      </c>
    </row>
    <row r="26" spans="4:16">
      <c r="D26" t="s">
        <v>53</v>
      </c>
      <c r="F26" t="s">
        <v>27</v>
      </c>
      <c r="G26">
        <v>37367</v>
      </c>
      <c r="H26" s="3">
        <v>19984</v>
      </c>
      <c r="I26">
        <v>500</v>
      </c>
      <c r="J26">
        <f t="shared" si="0"/>
        <v>20484</v>
      </c>
      <c r="K26" s="4">
        <f>+J26/$J$6</f>
        <v>2.2720214380152089E-2</v>
      </c>
      <c r="M26" s="4">
        <f>+H26/$H$6</f>
        <v>2.2850321475574604E-2</v>
      </c>
      <c r="O26" s="4">
        <f>+I26/$I$6</f>
        <v>1.8508236165093468E-2</v>
      </c>
    </row>
    <row r="27" spans="4:16">
      <c r="D27" t="s">
        <v>54</v>
      </c>
      <c r="F27" t="s">
        <v>28</v>
      </c>
      <c r="G27">
        <v>12662</v>
      </c>
      <c r="H27" s="3">
        <v>6076</v>
      </c>
      <c r="I27">
        <v>237</v>
      </c>
      <c r="J27">
        <f t="shared" si="0"/>
        <v>6313</v>
      </c>
      <c r="L27" s="4">
        <f>+J27/$J$7</f>
        <v>1.9653503105396698E-2</v>
      </c>
      <c r="N27" s="4">
        <f>+H27/$H$7</f>
        <v>1.9625830124809427E-2</v>
      </c>
      <c r="P27" s="4">
        <f>+I27/$I$7</f>
        <v>2.039060483524047E-2</v>
      </c>
    </row>
    <row r="28" spans="4:16">
      <c r="I28" t="s">
        <v>54</v>
      </c>
      <c r="K28" s="4">
        <f>SUM(K8:K26)</f>
        <v>0.99999999999999989</v>
      </c>
      <c r="L28" s="4">
        <f>SUM(L8:L27)</f>
        <v>0.99999999999999989</v>
      </c>
      <c r="M28" s="4">
        <f>SUM(M8:M27)</f>
        <v>1</v>
      </c>
      <c r="N28" s="4">
        <f>SUM(N8:N27)</f>
        <v>1</v>
      </c>
      <c r="O28" s="4">
        <f>SUM(O8:O27)</f>
        <v>1</v>
      </c>
      <c r="P28" s="4">
        <f>SUM(P8:P27)</f>
        <v>0.99999999999999978</v>
      </c>
    </row>
    <row r="29" spans="4:16">
      <c r="I29" t="s">
        <v>54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UMIC - Agência para a Sociedade do Conhecimento, IP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Fernandes</dc:creator>
  <cp:lastModifiedBy>Jorge Fernandes - pessoal</cp:lastModifiedBy>
  <dcterms:created xsi:type="dcterms:W3CDTF">2012-11-28T11:30:50Z</dcterms:created>
  <dcterms:modified xsi:type="dcterms:W3CDTF">2012-12-20T18:26:06Z</dcterms:modified>
</cp:coreProperties>
</file>